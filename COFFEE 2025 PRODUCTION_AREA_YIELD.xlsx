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ilmour59/Downloads/"/>
    </mc:Choice>
  </mc:AlternateContent>
  <xr:revisionPtr revIDLastSave="0" documentId="13_ncr:1_{C5A76567-826F-A94B-B3BB-271E9891403D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REGION 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FoqbN92L6PPagBE5ibsnCYl/7cX7YaaS+Szz8iLBv/A=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<sst xmlns="http://schemas.openxmlformats.org/spreadsheetml/2006/main" count="24" uniqueCount="24">
  <si>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AREA</t>
  </si>
  <si>
    <t>PRODUCTION</t>
  </si>
  <si>
    <t>COFFEE-2025</t>
  </si>
  <si>
    <t>Malinao</t>
  </si>
  <si>
    <t>Valderrama</t>
  </si>
  <si>
    <t>Culasi</t>
  </si>
  <si>
    <t>Sibalom</t>
  </si>
  <si>
    <t>Sibunag</t>
  </si>
  <si>
    <t>San Lorenzo</t>
  </si>
  <si>
    <t>Nueva Valencia</t>
  </si>
  <si>
    <t>Calinog</t>
  </si>
  <si>
    <t>DIngle</t>
  </si>
  <si>
    <t>Lambunao</t>
  </si>
  <si>
    <t>Maasin</t>
  </si>
  <si>
    <t>Miagao</t>
  </si>
  <si>
    <t>Leon</t>
  </si>
  <si>
    <t>San Dionisio</t>
  </si>
  <si>
    <t>Pilar</t>
  </si>
  <si>
    <t>Panit-an</t>
  </si>
  <si>
    <t>Pontevedra</t>
  </si>
  <si>
    <t>Dumalag</t>
  </si>
  <si>
    <t>Dumarao</t>
  </si>
  <si>
    <t>Tapaz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</si>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</sst>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2" borderId="0" xfId="0" applyFont="1" applyFill="1"/>
    <xf numFmtId="0" fontId="4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0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8" sqref="F8"/>
    </sheetView>
  </sheetViews>
  <sheetFormatPr baseColWidth="10" defaultColWidth="12.5" defaultRowHeight="15" customHeight="1" x14ac:dyDescent="0.2"/>
  <cols>
    <col min="1" max="1" width="17.83203125" customWidth="1"/>
    <col min="2" max="13" width="15.6640625" customWidth="1"/>
    <col min="14" max="23" width="8.5" customWidth="1"/>
  </cols>
  <sheetData>
    <row r="1" spans="1:4" ht="15.75" customHeight="1" x14ac:dyDescent="0.2">
      <c r="B1" s="9" t="s">
        <v>2</v>
      </c>
      <c r="C1" s="10"/>
    </row>
    <row r="2" spans="1:4" ht="15.75" customHeight="1" x14ac:dyDescent="0.2">
      <c r="B2" s="1" t="s">
        <v>0</v>
      </c>
      <c r="C2" s="1" t="s">
        <v>1</v>
      </c>
      <c r="D2" s="7" t="s">
        <v>23</v>
      </c>
    </row>
    <row r="3" spans="1:4" ht="15.75" customHeight="1" x14ac:dyDescent="0.2">
      <c r="A3" s="3" t="s">
        <v>3</v>
      </c>
      <c r="B3" s="2">
        <v>5</v>
      </c>
      <c r="C3" s="2">
        <v>0.08</v>
      </c>
      <c r="D3" s="8">
        <f>+C3/B3</f>
        <v>1.6E-2</v>
      </c>
    </row>
    <row r="4" spans="1:4" ht="15.75" customHeight="1" x14ac:dyDescent="0.2">
      <c r="A4" s="4" t="s">
        <v>4</v>
      </c>
      <c r="B4" s="5">
        <v>9.6</v>
      </c>
      <c r="C4" s="2">
        <v>9.15</v>
      </c>
      <c r="D4" s="8">
        <f t="shared" ref="D4:D22" si="0">+C4/B4</f>
        <v>0.95312500000000011</v>
      </c>
    </row>
    <row r="5" spans="1:4" ht="15.75" customHeight="1" x14ac:dyDescent="0.2">
      <c r="A5" s="4" t="s">
        <v>5</v>
      </c>
      <c r="B5" s="2">
        <v>4.0999999999999996</v>
      </c>
      <c r="C5" s="2">
        <v>3.2</v>
      </c>
      <c r="D5" s="8">
        <f t="shared" si="0"/>
        <v>0.78048780487804892</v>
      </c>
    </row>
    <row r="6" spans="1:4" ht="15.75" customHeight="1" x14ac:dyDescent="0.2">
      <c r="A6" s="4" t="s">
        <v>6</v>
      </c>
      <c r="B6" s="2">
        <v>200</v>
      </c>
      <c r="C6" s="2">
        <v>160</v>
      </c>
      <c r="D6" s="8">
        <f t="shared" si="0"/>
        <v>0.8</v>
      </c>
    </row>
    <row r="7" spans="1:4" ht="15.75" customHeight="1" x14ac:dyDescent="0.2">
      <c r="A7" s="6" t="s">
        <v>7</v>
      </c>
      <c r="B7" s="2">
        <v>2.9</v>
      </c>
      <c r="C7" s="2">
        <v>0.15</v>
      </c>
      <c r="D7" s="8">
        <f t="shared" si="0"/>
        <v>5.1724137931034482E-2</v>
      </c>
    </row>
    <row r="8" spans="1:4" ht="15.75" customHeight="1" x14ac:dyDescent="0.2">
      <c r="A8" s="6" t="s">
        <v>8</v>
      </c>
      <c r="B8" s="2">
        <v>0.56999999999999995</v>
      </c>
      <c r="C8" s="2">
        <v>0.26</v>
      </c>
      <c r="D8" s="8">
        <f t="shared" si="0"/>
        <v>0.45614035087719301</v>
      </c>
    </row>
    <row r="9" spans="1:4" ht="15.75" customHeight="1" x14ac:dyDescent="0.2">
      <c r="A9" s="6" t="s">
        <v>9</v>
      </c>
      <c r="B9" s="2">
        <v>1.7</v>
      </c>
      <c r="C9" s="2">
        <v>1.1000000000000001</v>
      </c>
      <c r="D9" s="8">
        <f t="shared" si="0"/>
        <v>0.6470588235294118</v>
      </c>
    </row>
    <row r="10" spans="1:4" ht="15.75" customHeight="1" x14ac:dyDescent="0.2">
      <c r="A10" s="6" t="s">
        <v>10</v>
      </c>
      <c r="B10" s="2">
        <v>1822</v>
      </c>
      <c r="C10" s="2">
        <v>564.79999999999995</v>
      </c>
      <c r="D10" s="8">
        <f t="shared" si="0"/>
        <v>0.30998902305159165</v>
      </c>
    </row>
    <row r="11" spans="1:4" ht="15.75" customHeight="1" x14ac:dyDescent="0.2">
      <c r="A11" s="6" t="s">
        <v>11</v>
      </c>
      <c r="B11" s="2">
        <v>545</v>
      </c>
      <c r="C11" s="2">
        <v>170.4</v>
      </c>
      <c r="D11" s="8">
        <f t="shared" si="0"/>
        <v>0.3126605504587156</v>
      </c>
    </row>
    <row r="12" spans="1:4" ht="15.75" customHeight="1" x14ac:dyDescent="0.2">
      <c r="A12" s="6" t="s">
        <v>12</v>
      </c>
      <c r="B12" s="2">
        <v>377.81</v>
      </c>
      <c r="C12" s="2">
        <v>116.5</v>
      </c>
      <c r="D12" s="8">
        <f t="shared" si="0"/>
        <v>0.30835605198380139</v>
      </c>
    </row>
    <row r="13" spans="1:4" ht="15.75" customHeight="1" x14ac:dyDescent="0.2">
      <c r="A13" s="6" t="s">
        <v>13</v>
      </c>
      <c r="B13" s="2">
        <v>34</v>
      </c>
      <c r="C13" s="2">
        <v>20</v>
      </c>
      <c r="D13" s="8">
        <f t="shared" si="0"/>
        <v>0.58823529411764708</v>
      </c>
    </row>
    <row r="14" spans="1:4" ht="15.75" customHeight="1" x14ac:dyDescent="0.2">
      <c r="A14" s="6" t="s">
        <v>14</v>
      </c>
      <c r="B14" s="2">
        <v>19.5</v>
      </c>
      <c r="C14" s="2">
        <v>10.7</v>
      </c>
      <c r="D14" s="8">
        <f t="shared" si="0"/>
        <v>0.54871794871794866</v>
      </c>
    </row>
    <row r="15" spans="1:4" ht="15.75" customHeight="1" x14ac:dyDescent="0.2">
      <c r="A15" s="6" t="s">
        <v>15</v>
      </c>
      <c r="B15" s="2">
        <v>50</v>
      </c>
      <c r="C15" s="2">
        <v>112.5</v>
      </c>
      <c r="D15" s="8">
        <f t="shared" si="0"/>
        <v>2.25</v>
      </c>
    </row>
    <row r="16" spans="1:4" ht="15.75" customHeight="1" x14ac:dyDescent="0.2">
      <c r="A16" s="6" t="s">
        <v>16</v>
      </c>
      <c r="B16" s="2">
        <v>79.199999999999989</v>
      </c>
      <c r="C16" s="2">
        <v>32</v>
      </c>
      <c r="D16" s="8">
        <f t="shared" si="0"/>
        <v>0.40404040404040409</v>
      </c>
    </row>
    <row r="17" spans="1:4" ht="15.75" customHeight="1" x14ac:dyDescent="0.2">
      <c r="A17" s="6" t="s">
        <v>17</v>
      </c>
      <c r="B17" s="2">
        <v>4</v>
      </c>
      <c r="C17" s="2">
        <v>0.63</v>
      </c>
      <c r="D17" s="8">
        <f t="shared" si="0"/>
        <v>0.1575</v>
      </c>
    </row>
    <row r="18" spans="1:4" ht="15.75" customHeight="1" x14ac:dyDescent="0.2">
      <c r="A18" s="6" t="s">
        <v>18</v>
      </c>
      <c r="B18" s="2">
        <v>6</v>
      </c>
      <c r="C18" s="2">
        <v>2.6</v>
      </c>
      <c r="D18" s="8">
        <f t="shared" si="0"/>
        <v>0.43333333333333335</v>
      </c>
    </row>
    <row r="19" spans="1:4" ht="15.75" customHeight="1" x14ac:dyDescent="0.2">
      <c r="A19" s="6" t="s">
        <v>19</v>
      </c>
      <c r="B19" s="2">
        <v>8</v>
      </c>
      <c r="C19" s="2">
        <v>2.6</v>
      </c>
      <c r="D19" s="8">
        <f t="shared" si="0"/>
        <v>0.32500000000000001</v>
      </c>
    </row>
    <row r="20" spans="1:4" ht="15.75" customHeight="1" x14ac:dyDescent="0.2">
      <c r="A20" s="6" t="s">
        <v>20</v>
      </c>
      <c r="B20" s="2">
        <v>36.5</v>
      </c>
      <c r="C20" s="2">
        <v>51</v>
      </c>
      <c r="D20" s="8">
        <f t="shared" si="0"/>
        <v>1.3972602739726028</v>
      </c>
    </row>
    <row r="21" spans="1:4" ht="15.75" customHeight="1" x14ac:dyDescent="0.2">
      <c r="A21" s="6" t="s">
        <v>21</v>
      </c>
      <c r="B21" s="2">
        <v>36.200000000000003</v>
      </c>
      <c r="C21" s="2">
        <v>15</v>
      </c>
      <c r="D21" s="8">
        <f t="shared" si="0"/>
        <v>0.41436464088397784</v>
      </c>
    </row>
    <row r="22" spans="1:4" ht="15.75" customHeight="1" x14ac:dyDescent="0.2">
      <c r="A22" s="6" t="s">
        <v>22</v>
      </c>
      <c r="B22" s="2">
        <v>44.55</v>
      </c>
      <c r="C22" s="2">
        <v>49.28</v>
      </c>
      <c r="D22" s="8">
        <f t="shared" si="0"/>
        <v>1.106172839506173</v>
      </c>
    </row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</sheetData>
  <mergeCells count="1">
    <mergeCell ref="B1:C1"/>
  </mergeCells>
  <dataValidations count="5">
    <dataValidation type="list" allowBlank="1" showErrorMessage="1" sqref="A17:A22" xr:uid="{00000000-0002-0000-0000-000000000000}">
      <formula1>"Cuartero,Dao,Dumalag,Dumarao,Ivisan,Jamindan,Maayon,Mambusao,Panay,Panit-an,Pilar,Pontevedra,President Roxas,Roxas,Sapian,Sigma,Tapaz"</formula1>
    </dataValidation>
    <dataValidation type="list" allowBlank="1" showErrorMessage="1" sqref="A3" xr:uid="{00000000-0002-0000-0000-000001000000}">
      <formula1>"Altavas,Balete,Banga,Batan,Buruanga,Ibajay,Kalibo,Lezo,Libacao,Madalag,Makato,Malay,Malinao,Nabas,New Washington,Numancia,Tanagalan"</formula1>
    </dataValidation>
    <dataValidation type="list" allowBlank="1" showErrorMessage="1" sqref="A7:A9" xr:uid="{00000000-0002-0000-0000-000003000000}">
      <formula1>"Buenavista,Jordan,Nueva Valencia,San Lorenzo,Sibunag"</formula1>
    </dataValidation>
    <dataValidation type="list" allowBlank="1" showErrorMessage="1" sqref="A4:A6" xr:uid="{00000000-0002-0000-0000-000004000000}">
      <formula1>"Anini-y,Barbaza,Belison,Bugasong,Caluya,Culasi,Hamtic,Laua-an,Libertad,Pandan,Patnongon,San Jose,San Remegio,Sebaste,Sibalom,Tibiao,Tobias Fornier,Valderrama"</formula1>
    </dataValidation>
    <dataValidation type="list" allowBlank="1" showErrorMessage="1" sqref="A10:A16" xr:uid="{00000000-0002-0000-0000-000002000000}">
      <formula1>"Ajuy,Alimodian,Anilao,Badiangan,Balasan,Banate,Barotac Nuevo,Barotac Viejo,Batad,Bingawan,Cabatuan,Calinog,Carles,Concepcion,DIngle,Dueñas,Dumangas,Estancia,Guimbal,Igbaras,Iloilo City,Janiuay,Lambunao,Leganes,Lemery,Leon,Maasin,Miagao,Mina,New Lucena,Oto"&amp;"n,Passi City,Pavia,Pototan,San Dionisio,San Enrique,San Miguel,San Joaquin,San Rafael,Sta. Barbara,Sara,Tigbauan,Tubungan,Zarraga"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Gilmour Almalbis</cp:lastModifiedBy>
  <dcterms:created xsi:type="dcterms:W3CDTF">2026-03-11T01:05:47Z</dcterms:created>
  <dcterms:modified xsi:type="dcterms:W3CDTF">2026-04-08T02:59:14Z</dcterms:modified>
</cp:coreProperties>
</file>